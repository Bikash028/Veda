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ash Mahato\Desktop\Veda\"/>
    </mc:Choice>
  </mc:AlternateContent>
  <xr:revisionPtr revIDLastSave="0" documentId="8_{3DE5355F-7285-4871-B92D-D4928E558737}" xr6:coauthVersionLast="47" xr6:coauthVersionMax="47" xr10:uidLastSave="{00000000-0000-0000-0000-000000000000}"/>
  <bookViews>
    <workbookView xWindow="-108" yWindow="-108" windowWidth="23256" windowHeight="12456" firstSheet="3" activeTab="6" xr2:uid="{91BCA595-14EF-4DED-89C5-80BC738B4F09}"/>
  </bookViews>
  <sheets>
    <sheet name="Raw Data" sheetId="1" r:id="rId1"/>
    <sheet name="Cleaned Data" sheetId="2" r:id="rId2"/>
    <sheet name="Summary" sheetId="3" r:id="rId3"/>
    <sheet name="Department Analysis" sheetId="4" r:id="rId4"/>
    <sheet name="Role Analysis" sheetId="5" r:id="rId5"/>
    <sheet name="Tenure Analysis" sheetId="6" r:id="rId6"/>
    <sheet name="HR Summar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7" l="1"/>
  <c r="B3" i="7"/>
  <c r="B2" i="7"/>
  <c r="D3" i="6"/>
  <c r="D4" i="6"/>
  <c r="D5" i="6"/>
  <c r="D6" i="6"/>
  <c r="D2" i="6"/>
  <c r="C6" i="6"/>
  <c r="C5" i="6"/>
  <c r="C4" i="6"/>
  <c r="C3" i="6"/>
  <c r="C2" i="6"/>
  <c r="B6" i="6"/>
  <c r="B5" i="6"/>
  <c r="B4" i="6"/>
  <c r="B3" i="6"/>
  <c r="B2" i="6"/>
  <c r="D3" i="5"/>
  <c r="D4" i="5"/>
  <c r="D5" i="5"/>
  <c r="D6" i="5"/>
  <c r="D7" i="5"/>
  <c r="D8" i="5"/>
  <c r="D9" i="5"/>
  <c r="D10" i="5"/>
  <c r="D2" i="5"/>
  <c r="C3" i="5"/>
  <c r="C4" i="5"/>
  <c r="C5" i="5"/>
  <c r="C6" i="5"/>
  <c r="C7" i="5"/>
  <c r="C8" i="5"/>
  <c r="C9" i="5"/>
  <c r="C10" i="5"/>
  <c r="C2" i="5"/>
  <c r="B3" i="5"/>
  <c r="B4" i="5"/>
  <c r="B5" i="5"/>
  <c r="B6" i="5"/>
  <c r="B7" i="5"/>
  <c r="B8" i="5"/>
  <c r="B9" i="5"/>
  <c r="B10" i="5"/>
  <c r="B2" i="5"/>
  <c r="D3" i="4"/>
  <c r="D4" i="4"/>
  <c r="D2" i="4"/>
  <c r="C3" i="4"/>
  <c r="C4" i="4"/>
  <c r="C2" i="4"/>
  <c r="B4" i="4"/>
  <c r="B3" i="4"/>
  <c r="B2" i="4"/>
  <c r="B4" i="3"/>
  <c r="B3" i="3"/>
</calcChain>
</file>

<file path=xl/sharedStrings.xml><?xml version="1.0" encoding="utf-8"?>
<sst xmlns="http://schemas.openxmlformats.org/spreadsheetml/2006/main" count="26581" uniqueCount="82">
  <si>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</si>
  <si>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</si>
  <si>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</si>
  <si>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</si>
  <si>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</si>
  <si>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</si>
  <si>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</si>
  <si>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</si>
  <si>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</si>
  <si>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</si>
  <si>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</si>
  <si>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</si>
  <si>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</si>
  <si>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</si>
  <si>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</si>
  <si>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</si>
  <si>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</si>
  <si>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</si>
  <si>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</si>
  <si>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</si>
  <si>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</si>
  <si>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</si>
  <si>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</si>
  <si>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</si>
  <si>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</si>
  <si>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</si>
  <si>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</si>
  <si>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</si>
  <si>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</si>
  <si>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</si>
  <si>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</si>
  <si>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</si>
  <si>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</si>
  <si>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</si>
  <si>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</si>
  <si>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</si>
  <si>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</si>
  <si>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</si>
  <si>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</si>
  <si>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</si>
  <si>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</si>
  <si>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</si>
  <si>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</si>
  <si>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</si>
  <si>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</si>
  <si>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</si>
  <si>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</si>
  <si>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</si>
  <si>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</si>
  <si>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</si>
  <si>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</si>
  <si>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</si>
  <si>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</si>
  <si>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</si>
  <si>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</si>
  <si>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</si>
  <si>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</si>
  <si>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</si>
  <si>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</si>
  <si>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</si>
  <si>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</si>
  <si>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</si>
  <si>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KPI</t>
  </si>
  <si>
    <t>Value</t>
  </si>
  <si>
    <t>Total Employees</t>
  </si>
  <si>
    <t>Employees Left</t>
  </si>
  <si>
    <t>Attrition Rate</t>
  </si>
  <si>
    <t>Job Role</t>
  </si>
  <si>
    <t>Tenure Group</t>
  </si>
  <si>
    <t>0–2 Years</t>
  </si>
  <si>
    <t>3–5 Years</t>
  </si>
  <si>
    <t>6–10 Years</t>
  </si>
  <si>
    <t>11–15 Years</t>
  </si>
  <si>
    <t>16+ Years</t>
  </si>
  <si>
    <t>Metric</t>
  </si>
  <si>
    <t>Result</t>
  </si>
  <si>
    <t>Highest Department Attrition</t>
  </si>
  <si>
    <t>Highest Role Attrition</t>
  </si>
  <si>
    <t>Tenure Analysis</t>
  </si>
  <si>
    <t>Created</t>
  </si>
  <si>
    <t>Department Analysis</t>
  </si>
  <si>
    <t>Role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</si>
</sst>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0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Rate by Department</a:t>
            </a:r>
            <a:endParaRPr lang="en-IN"/>
          </a:p>
        </c:rich>
      </c:tx>
      <c:layout>
        <c:manualLayout>
          <c:xMode val="edge"/>
          <c:yMode val="edge"/>
          <c:x val="0.2559234470691163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65048118985126"/>
          <c:y val="0.18560185185185185"/>
          <c:w val="0.8497524059492565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'Department Analysis'!$A$2</c:f>
              <c:strCache>
                <c:ptCount val="1"/>
                <c:pt idx="0">
                  <c:v>Human Resources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'Department Analysis'!$B$1:$D$1</c15:sqref>
                  </c15:fullRef>
                </c:ext>
              </c:extLst>
              <c:f>'Department Analysis'!$D$1</c:f>
              <c:strCache>
                <c:ptCount val="1"/>
                <c:pt idx="0">
                  <c:v>Attrition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'Department Analysis'!$B$2:$D$2</c15:sqref>
                  </c15:fullRef>
                </c:ext>
              </c:extLst>
              <c:f>'Department Analysis'!$D$2</c:f>
              <c:numCache>
                <c:formatCode>General</c:formatCode>
                <c:ptCount val="1"/>
                <c:pt idx="0" formatCode="0.00%">
                  <c:v>0.19047619047619047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5-43C7-BAA6-9350593DAD24}"/>
            </c:ext>
          </c:extLst>
        </c:ser>
        <c:ser>
          <c:idx val="1"/>
          <c:order val="1"/>
          <c:tx>
            <c:strRef>
              <c:f>'Department Analysis'!$A$3</c:f>
              <c:strCache>
                <c:ptCount val="1"/>
                <c:pt idx="0">
                  <c:v>Research &amp; Development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'Department Analysis'!$B$1:$D$1</c15:sqref>
                  </c15:fullRef>
                </c:ext>
              </c:extLst>
              <c:f>'Department Analysis'!$D$1</c:f>
              <c:strCache>
                <c:ptCount val="1"/>
                <c:pt idx="0">
                  <c:v>Attrition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'Department Analysis'!$B$3:$D$3</c15:sqref>
                  </c15:fullRef>
                </c:ext>
              </c:extLst>
              <c:f>'Department Analysis'!$D$3</c:f>
              <c:numCache>
                <c:formatCode>General</c:formatCode>
                <c:ptCount val="1"/>
                <c:pt idx="0" formatCode="0.00%">
                  <c:v>0.13839750260145681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25-43C7-BAA6-9350593DAD24}"/>
            </c:ext>
          </c:extLst>
        </c:ser>
        <c:ser>
          <c:idx val="2"/>
          <c:order val="2"/>
          <c:tx>
            <c:strRef>
              <c:f>'Department Analysis'!$A$4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'Department Analysis'!$B$1:$D$1</c15:sqref>
                  </c15:fullRef>
                </c:ext>
              </c:extLst>
              <c:f>'Department Analysis'!$D$1</c:f>
              <c:strCache>
                <c:ptCount val="1"/>
                <c:pt idx="0">
                  <c:v>Attrition Rate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'Department Analysis'!$B$4:$D$4</c15:sqref>
                  </c15:fullRef>
                </c:ext>
              </c:extLst>
              <c:f>'Department Analysis'!$D$4</c:f>
              <c:numCache>
                <c:formatCode>General</c:formatCode>
                <c:ptCount val="1"/>
                <c:pt idx="0" formatCode="0.00%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25-43C7-BAA6-9350593DA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4121823"/>
        <c:axId val="2002111823"/>
      </c:barChart>
      <c:catAx>
        <c:axId val="4412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111823"/>
        <c:crosses val="autoZero"/>
        <c:auto val="1"/>
        <c:lblAlgn val="ctr"/>
        <c:lblOffset val="100"/>
        <c:noMultiLvlLbl val="0"/>
      </c:catAx>
      <c:valAx>
        <c:axId val="20021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2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Rate by Job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'Role Analysis'!$D$1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'Role Analysis'!$A$2:$A$10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'Role Analysis'!$D$2:$D$10</c:f>
              <c:numCache>
                <c:formatCode>0.00%</c:formatCode>
                <c:ptCount val="9"/>
                <c:pt idx="0">
                  <c:v>0.39759036144578314</c:v>
                </c:pt>
                <c:pt idx="1">
                  <c:v>0.23938223938223938</c:v>
                </c:pt>
                <c:pt idx="2">
                  <c:v>0.23076923076923078</c:v>
                </c:pt>
                <c:pt idx="3">
                  <c:v>0.17484662576687116</c:v>
                </c:pt>
                <c:pt idx="4">
                  <c:v>0.16095890410958905</c:v>
                </c:pt>
                <c:pt idx="5">
                  <c:v>6.8965517241379309E-2</c:v>
                </c:pt>
                <c:pt idx="6">
                  <c:v>6.8702290076335881E-2</c:v>
                </c:pt>
                <c:pt idx="7">
                  <c:v>4.9019607843137254E-2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4E-49BF-B83A-087EFE767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882847"/>
        <c:axId val="20020873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'Role Analysis'!$B$1</c15:sqref>
                        </c15:formulaRef>
                      </c:ext>
                    </c:extLst>
                    <c:strCache>
                      <c:ptCount val="1"/>
                      <c:pt idx="0">
                        <c:v>Total Employees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'Role Analysis'!$A$2:$A$10</c15:sqref>
                        </c15:formulaRef>
                      </c:ext>
                    </c:extLst>
                    <c:strCache>
                      <c:ptCount val="9"/>
                      <c:pt idx="0">
                        <c:v>Sales Representative</c:v>
                      </c:pt>
                      <c:pt idx="1">
                        <c:v>Laboratory Technician</c:v>
                      </c:pt>
                      <c:pt idx="2">
                        <c:v>Human Resources</c:v>
                      </c:pt>
                      <c:pt idx="3">
                        <c:v>Sales Executive</c:v>
                      </c:pt>
                      <c:pt idx="4">
                        <c:v>Research Scientist</c:v>
                      </c:pt>
                      <c:pt idx="5">
                        <c:v>Manufacturing Director</c:v>
                      </c:pt>
                      <c:pt idx="6">
                        <c:v>Healthcare Representative</c:v>
                      </c:pt>
                      <c:pt idx="7">
                        <c:v>Manager</c:v>
                      </c:pt>
                      <c:pt idx="8">
                        <c:v>Research Director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'Role Analysis'!$B$2:$B$10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83</c:v>
                      </c:pt>
                      <c:pt idx="1">
                        <c:v>259</c:v>
                      </c:pt>
                      <c:pt idx="2">
                        <c:v>52</c:v>
                      </c:pt>
                      <c:pt idx="3">
                        <c:v>326</c:v>
                      </c:pt>
                      <c:pt idx="4">
                        <c:v>292</c:v>
                      </c:pt>
                      <c:pt idx="5">
                        <c:v>145</c:v>
                      </c:pt>
                      <c:pt idx="6">
                        <c:v>131</c:v>
                      </c:pt>
                      <c:pt idx="7">
                        <c:v>102</c:v>
                      </c:pt>
                      <c:pt idx="8">
                        <c:v>80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24E-49BF-B83A-087EFE7670D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'Role Analysis'!$C$1</c15:sqref>
                        </c15:formulaRef>
                      </c:ext>
                    </c:extLst>
                    <c:strCache>
                      <c:ptCount val="1"/>
                      <c:pt idx="0">
                        <c:v>Employees Left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'Role Analysis'!$A$2:$A$10</c15:sqref>
                        </c15:formulaRef>
                      </c:ext>
                    </c:extLst>
                    <c:strCache>
                      <c:ptCount val="9"/>
                      <c:pt idx="0">
                        <c:v>Sales Representative</c:v>
                      </c:pt>
                      <c:pt idx="1">
                        <c:v>Laboratory Technician</c:v>
                      </c:pt>
                      <c:pt idx="2">
                        <c:v>Human Resources</c:v>
                      </c:pt>
                      <c:pt idx="3">
                        <c:v>Sales Executive</c:v>
                      </c:pt>
                      <c:pt idx="4">
                        <c:v>Research Scientist</c:v>
                      </c:pt>
                      <c:pt idx="5">
                        <c:v>Manufacturing Director</c:v>
                      </c:pt>
                      <c:pt idx="6">
                        <c:v>Healthcare Representative</c:v>
                      </c:pt>
                      <c:pt idx="7">
                        <c:v>Manager</c:v>
                      </c:pt>
                      <c:pt idx="8">
                        <c:v>Research Director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'Role Analysis'!$C$2:$C$10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33</c:v>
                      </c:pt>
                      <c:pt idx="1">
                        <c:v>62</c:v>
                      </c:pt>
                      <c:pt idx="2">
                        <c:v>12</c:v>
                      </c:pt>
                      <c:pt idx="3">
                        <c:v>57</c:v>
                      </c:pt>
                      <c:pt idx="4">
                        <c:v>47</c:v>
                      </c:pt>
                      <c:pt idx="5">
                        <c:v>10</c:v>
                      </c:pt>
                      <c:pt idx="6">
                        <c:v>9</c:v>
                      </c:pt>
                      <c:pt idx="7">
                        <c:v>5</c:v>
                      </c:pt>
                      <c:pt idx="8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24E-49BF-B83A-087EFE7670D2}"/>
                  </c:ext>
                </c:extLst>
              </c15:ser>
            </c15:filteredBarSeries>
          </c:ext>
        </c:extLst>
      </c:barChart>
      <c:catAx>
        <c:axId val="93882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087343"/>
        <c:crosses val="autoZero"/>
        <c:auto val="1"/>
        <c:lblAlgn val="ctr"/>
        <c:lblOffset val="100"/>
        <c:noMultiLvlLbl val="0"/>
      </c:catAx>
      <c:valAx>
        <c:axId val="200208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8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Rate by Tenure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'Tenure Analysis'!$D$1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'Tenure Analysis'!$A$2:$A$6</c:f>
              <c:strCache>
                <c:ptCount val="5"/>
                <c:pt idx="0">
                  <c:v>0–2 Years</c:v>
                </c:pt>
                <c:pt idx="1">
                  <c:v>3–5 Years</c:v>
                </c:pt>
                <c:pt idx="2">
                  <c:v>6–10 Years</c:v>
                </c:pt>
                <c:pt idx="3">
                  <c:v>11–15 Years</c:v>
                </c:pt>
                <c:pt idx="4">
                  <c:v>16+ Years</c:v>
                </c:pt>
              </c:strCache>
            </c:strRef>
          </c:cat>
          <c:val>
            <c:numRef>
              <c:f>'Tenure Analysis'!$D$2:$D$6</c:f>
              <c:numCache>
                <c:formatCode>0.00%</c:formatCode>
                <c:ptCount val="5"/>
                <c:pt idx="0">
                  <c:v>0.2982456140350877</c:v>
                </c:pt>
                <c:pt idx="1">
                  <c:v>0.13824884792626729</c:v>
                </c:pt>
                <c:pt idx="2">
                  <c:v>0.12276785714285714</c:v>
                </c:pt>
                <c:pt idx="3">
                  <c:v>6.4814814814814811E-2</c:v>
                </c:pt>
                <c:pt idx="4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47-4054-B0B0-A93E01739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909903"/>
        <c:axId val="2002054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'Tenure Analysis'!$B$1</c15:sqref>
                        </c15:formulaRef>
                      </c:ext>
                    </c:extLst>
                    <c:strCache>
                      <c:ptCount val="1"/>
                      <c:pt idx="0">
                        <c:v>Total Employees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'Tenure Analysis'!$A$2:$A$6</c15:sqref>
                        </c15:formulaRef>
                      </c:ext>
                    </c:extLst>
                    <c:strCache>
                      <c:ptCount val="5"/>
                      <c:pt idx="0">
                        <c:v>0–2 Years</c:v>
                      </c:pt>
                      <c:pt idx="1">
                        <c:v>3–5 Years</c:v>
                      </c:pt>
                      <c:pt idx="2">
                        <c:v>6–10 Years</c:v>
                      </c:pt>
                      <c:pt idx="3">
                        <c:v>11–15 Years</c:v>
                      </c:pt>
                      <c:pt idx="4">
                        <c:v>16+ Years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'Tenure Analysis'!$B$2:$B$6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342</c:v>
                      </c:pt>
                      <c:pt idx="1">
                        <c:v>434</c:v>
                      </c:pt>
                      <c:pt idx="2">
                        <c:v>448</c:v>
                      </c:pt>
                      <c:pt idx="3">
                        <c:v>108</c:v>
                      </c:pt>
                      <c:pt idx="4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647-4054-B0B0-A93E01739A2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'Tenure Analysis'!$C$1</c15:sqref>
                        </c15:formulaRef>
                      </c:ext>
                    </c:extLst>
                    <c:strCache>
                      <c:ptCount val="1"/>
                      <c:pt idx="0">
                        <c:v>Employees Left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'Tenure Analysis'!$A$2:$A$6</c15:sqref>
                        </c15:formulaRef>
                      </c:ext>
                    </c:extLst>
                    <c:strCache>
                      <c:ptCount val="5"/>
                      <c:pt idx="0">
                        <c:v>0–2 Years</c:v>
                      </c:pt>
                      <c:pt idx="1">
                        <c:v>3–5 Years</c:v>
                      </c:pt>
                      <c:pt idx="2">
                        <c:v>6–10 Years</c:v>
                      </c:pt>
                      <c:pt idx="3">
                        <c:v>11–15 Years</c:v>
                      </c:pt>
                      <c:pt idx="4">
                        <c:v>16+ Years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'Tenure Analysis'!$C$2:$C$6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102</c:v>
                      </c:pt>
                      <c:pt idx="1">
                        <c:v>60</c:v>
                      </c:pt>
                      <c:pt idx="2">
                        <c:v>55</c:v>
                      </c:pt>
                      <c:pt idx="3">
                        <c:v>7</c:v>
                      </c:pt>
                      <c:pt idx="4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647-4054-B0B0-A93E01739A28}"/>
                  </c:ext>
                </c:extLst>
              </c15:ser>
            </c15:filteredBarSeries>
          </c:ext>
        </c:extLst>
      </c:barChart>
      <c:catAx>
        <c:axId val="9290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054703"/>
        <c:crosses val="autoZero"/>
        <c:auto val="1"/>
        <c:lblAlgn val="ctr"/>
        <c:lblOffset val="100"/>
        <c:noMultiLvlLbl val="0"/>
      </c:catAx>
      <c:valAx>
        <c:axId val="200205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0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1</xdr:row>
      <xdr:rowOff>19050</xdr:rowOff>
    </xdr:from>
    <xdr:to>
      <xdr:col>12</xdr:col>
      <xdr:colOff>327660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3195CF-A5BB-3943-6724-BEE58C54A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510540</xdr:colOff>
      <xdr:row>5</xdr:row>
      <xdr:rowOff>87630</xdr:rowOff>
    </xdr:from>
    <xdr:to>
      <xdr:col>14</xdr:col>
      <xdr:colOff>160020</xdr:colOff>
      <xdr:row>20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427C43-790C-E212-1A6F-AAEF5F9DC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3</xdr:row>
      <xdr:rowOff>87630</xdr:rowOff>
    </xdr:from>
    <xdr:to>
      <xdr:col>12</xdr:col>
      <xdr:colOff>373380</xdr:colOff>
      <xdr:row>18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210FAC-FD55-46A6-D6D5-AC1BEB64F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9608-BA90-4127-8B21-873529B0162A}">
  <dimension ref="A1:AI1471"/>
  <sheetViews>
    <sheetView workbookViewId="0">
      <selection activeCell="D11" sqref="A1:AI1471"/>
    </sheetView>
  </sheetViews>
  <sheetFormatPr defaultRowHeight="14.4" x14ac:dyDescent="0.3"/>
  <cols>
    <col min="1" max="1" width="4" bestFit="1" customWidth="1"/>
    <col min="2" max="2" width="7.77734375" bestFit="1" customWidth="1"/>
    <col min="3" max="3" width="12.88671875" bestFit="1" customWidth="1"/>
    <col min="4" max="4" width="8.77734375" bestFit="1" customWidth="1"/>
    <col min="5" max="5" width="10.77734375" bestFit="1" customWidth="1"/>
    <col min="6" max="6" width="17.33203125" bestFit="1" customWidth="1"/>
    <col min="7" max="7" width="9.109375" bestFit="1" customWidth="1"/>
    <col min="8" max="8" width="12.88671875" bestFit="1" customWidth="1"/>
    <col min="9" max="9" width="14" bestFit="1" customWidth="1"/>
    <col min="10" max="10" width="15.6640625" bestFit="1" customWidth="1"/>
    <col min="11" max="11" width="21.109375" bestFit="1" customWidth="1"/>
    <col min="12" max="12" width="6.88671875" bestFit="1" customWidth="1"/>
    <col min="13" max="13" width="10.109375" bestFit="1" customWidth="1"/>
    <col min="14" max="14" width="14" bestFit="1" customWidth="1"/>
    <col min="15" max="15" width="8" bestFit="1" customWidth="1"/>
    <col min="16" max="16" width="7.44140625" bestFit="1" customWidth="1"/>
    <col min="17" max="17" width="13.44140625" bestFit="1" customWidth="1"/>
    <col min="18" max="18" width="11.88671875" bestFit="1" customWidth="1"/>
    <col min="19" max="19" width="14" bestFit="1" customWidth="1"/>
    <col min="20" max="20" width="11.5546875" bestFit="1" customWidth="1"/>
    <col min="21" max="21" width="20.5546875" bestFit="1" customWidth="1"/>
    <col min="22" max="22" width="6.88671875" bestFit="1" customWidth="1"/>
    <col min="24" max="24" width="15.77734375" bestFit="1" customWidth="1"/>
    <col min="25" max="25" width="16.77734375" bestFit="1" customWidth="1"/>
    <col min="26" max="26" width="20.77734375" bestFit="1" customWidth="1"/>
    <col min="27" max="27" width="13.109375" bestFit="1" customWidth="1"/>
    <col min="28" max="28" width="15.33203125" bestFit="1" customWidth="1"/>
    <col min="29" max="29" width="16.5546875" bestFit="1" customWidth="1"/>
    <col min="30" max="30" width="19.44140625" bestFit="1" customWidth="1"/>
    <col min="31" max="32" width="15" bestFit="1" customWidth="1"/>
    <col min="33" max="33" width="16.88671875" bestFit="1" customWidth="1"/>
    <col min="34" max="34" width="22" bestFit="1" customWidth="1"/>
    <col min="35" max="35" width="20.21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B158-A0E7-4F7B-8B13-258330734990}">
  <dimension ref="A1:AI1471"/>
  <sheetViews>
    <sheetView topLeftCell="X1" workbookViewId="0">
      <selection activeCell="R15" sqref="R15"/>
    </sheetView>
  </sheetViews>
  <sheetFormatPr defaultRowHeight="14.4" x14ac:dyDescent="0.3"/>
  <cols>
    <col min="5" max="5" width="21.88671875" bestFit="1" customWidth="1"/>
    <col min="13" max="13" width="10.109375" bestFit="1" customWidth="1"/>
    <col min="14" max="14" width="14" bestFit="1" customWidth="1"/>
    <col min="15" max="15" width="8" bestFit="1" customWidth="1"/>
    <col min="16" max="16" width="7.44140625" bestFit="1" customWidth="1"/>
    <col min="17" max="17" width="13.44140625" bestFit="1" customWidth="1"/>
    <col min="18" max="18" width="11.88671875" bestFit="1" customWidth="1"/>
    <col min="19" max="19" width="14" bestFit="1" customWidth="1"/>
    <col min="20" max="20" width="11.5546875" bestFit="1" customWidth="1"/>
    <col min="21" max="21" width="20.5546875" bestFit="1" customWidth="1"/>
    <col min="22" max="22" width="6.88671875" bestFit="1" customWidth="1"/>
    <col min="24" max="24" width="15.77734375" bestFit="1" customWidth="1"/>
    <col min="25" max="25" width="16.77734375" bestFit="1" customWidth="1"/>
    <col min="26" max="26" width="20.77734375" bestFit="1" customWidth="1"/>
    <col min="27" max="27" width="13.109375" bestFit="1" customWidth="1"/>
    <col min="28" max="28" width="15.33203125" bestFit="1" customWidth="1"/>
    <col min="29" max="29" width="16.5546875" bestFit="1" customWidth="1"/>
    <col min="30" max="30" width="19.44140625" bestFit="1" customWidth="1"/>
    <col min="31" max="32" width="15" bestFit="1" customWidth="1"/>
    <col min="33" max="33" width="16.88671875" bestFit="1" customWidth="1"/>
    <col min="34" max="34" width="22" bestFit="1" customWidth="1"/>
    <col min="35" max="35" width="20.218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01BB0-ABDA-4A23-92F3-788F1F98EE8C}">
  <dimension ref="A1:B4"/>
  <sheetViews>
    <sheetView workbookViewId="0">
      <selection activeCell="A6" sqref="A6"/>
    </sheetView>
  </sheetViews>
  <sheetFormatPr defaultRowHeight="14.4" x14ac:dyDescent="0.3"/>
  <cols>
    <col min="1" max="1" width="14.5546875" bestFit="1" customWidth="1"/>
    <col min="2" max="2" width="10.109375" customWidth="1"/>
  </cols>
  <sheetData>
    <row r="1" spans="1:2" x14ac:dyDescent="0.3">
      <c r="A1" s="1" t="s">
        <v>62</v>
      </c>
      <c r="B1" s="2" t="s">
        <v>63</v>
      </c>
    </row>
    <row r="2" spans="1:2" x14ac:dyDescent="0.3">
      <c r="A2" s="3" t="s">
        <v>64</v>
      </c>
      <c r="B2" s="4">
        <v>1470</v>
      </c>
    </row>
    <row r="3" spans="1:2" x14ac:dyDescent="0.3">
      <c r="A3" s="3" t="s">
        <v>65</v>
      </c>
      <c r="B3" s="5">
        <f>COUNTIF('Cleaned Data'!B:B,"Yes")</f>
        <v>237</v>
      </c>
    </row>
    <row r="4" spans="1:2" x14ac:dyDescent="0.3">
      <c r="A4" s="3" t="s">
        <v>66</v>
      </c>
      <c r="B4" s="5">
        <f>B3/B2</f>
        <v>0.16122448979591836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A8C33-3421-4C6D-BA3D-86EC9F22295D}">
  <dimension ref="A1:D4"/>
  <sheetViews>
    <sheetView workbookViewId="0">
      <selection activeCell="N12" sqref="N12"/>
    </sheetView>
  </sheetViews>
  <sheetFormatPr defaultRowHeight="14.4" x14ac:dyDescent="0.3"/>
  <cols>
    <col min="1" max="1" width="21.88671875" bestFit="1" customWidth="1"/>
    <col min="2" max="2" width="14.88671875" bestFit="1" customWidth="1"/>
    <col min="3" max="3" width="13.88671875" bestFit="1" customWidth="1"/>
    <col min="4" max="4" width="12.21875" bestFit="1" customWidth="1"/>
  </cols>
  <sheetData>
    <row r="1" spans="1:4" x14ac:dyDescent="0.3">
      <c r="A1" s="1" t="s">
        <v>4</v>
      </c>
      <c r="B1" s="1" t="s">
        <v>64</v>
      </c>
      <c r="C1" s="1" t="s">
        <v>65</v>
      </c>
      <c r="D1" s="1" t="s">
        <v>66</v>
      </c>
    </row>
    <row r="2" spans="1:4" x14ac:dyDescent="0.3">
      <c r="A2" s="3" t="s">
        <v>61</v>
      </c>
      <c r="B2" s="5">
        <f>COUNTIF('Cleaned Data'!E:E,A2)</f>
        <v>63</v>
      </c>
      <c r="C2" s="5">
        <f>COUNTIFS('Cleaned Data'!E:E,A2,'Cleaned Data'!B:B,"Yes")</f>
        <v>12</v>
      </c>
      <c r="D2" s="6">
        <f>C2/B2</f>
        <v>0.19047619047619047</v>
      </c>
    </row>
    <row r="3" spans="1:4" x14ac:dyDescent="0.3">
      <c r="A3" s="3" t="s">
        <v>45</v>
      </c>
      <c r="B3" s="5">
        <f>COUNTIF('Cleaned Data'!E:E,A3)</f>
        <v>961</v>
      </c>
      <c r="C3" s="5">
        <f>COUNTIFS('Cleaned Data'!E:E,A3,'Cleaned Data'!B:B,"Yes")</f>
        <v>133</v>
      </c>
      <c r="D3" s="6">
        <f t="shared" ref="D3:D4" si="0">C3/B3</f>
        <v>0.13839750260145681</v>
      </c>
    </row>
    <row r="4" spans="1:4" x14ac:dyDescent="0.3">
      <c r="A4" s="3" t="s">
        <v>37</v>
      </c>
      <c r="B4" s="5">
        <f>COUNTIF('Cleaned Data'!E:E,A4)</f>
        <v>446</v>
      </c>
      <c r="C4" s="5">
        <f>COUNTIFS('Cleaned Data'!E:E,A4,'Cleaned Data'!B:B,"Yes")</f>
        <v>92</v>
      </c>
      <c r="D4" s="6">
        <f t="shared" si="0"/>
        <v>0.20627802690582961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C3C9-AE08-4FEA-8C55-B9AF63E652F8}">
  <dimension ref="A1:D10"/>
  <sheetViews>
    <sheetView workbookViewId="0">
      <selection activeCell="I4" sqref="I4"/>
    </sheetView>
  </sheetViews>
  <sheetFormatPr defaultRowHeight="14.4" x14ac:dyDescent="0.3"/>
  <cols>
    <col min="1" max="1" width="22.88671875" bestFit="1" customWidth="1"/>
    <col min="2" max="2" width="14.88671875" bestFit="1" customWidth="1"/>
    <col min="3" max="3" width="13.88671875" bestFit="1" customWidth="1"/>
    <col min="4" max="4" width="12.21875" bestFit="1" customWidth="1"/>
  </cols>
  <sheetData>
    <row r="1" spans="1:4" x14ac:dyDescent="0.3">
      <c r="A1" s="1" t="s">
        <v>67</v>
      </c>
      <c r="B1" s="2" t="s">
        <v>64</v>
      </c>
      <c r="C1" s="2" t="s">
        <v>65</v>
      </c>
      <c r="D1" s="2" t="s">
        <v>66</v>
      </c>
    </row>
    <row r="2" spans="1:4" x14ac:dyDescent="0.3">
      <c r="A2" s="3" t="s">
        <v>57</v>
      </c>
      <c r="B2" s="5">
        <f>COUNTIF('Cleaned Data'!P:P,A2)</f>
        <v>83</v>
      </c>
      <c r="C2" s="5">
        <f>COUNTIFS('Cleaned Data'!P:P,A2,'Cleaned Data'!B:B,"Yes")</f>
        <v>33</v>
      </c>
      <c r="D2" s="6">
        <f>C2/B2</f>
        <v>0.39759036144578314</v>
      </c>
    </row>
    <row r="3" spans="1:4" x14ac:dyDescent="0.3">
      <c r="A3" s="3" t="s">
        <v>50</v>
      </c>
      <c r="B3" s="5">
        <f>COUNTIF('Cleaned Data'!P:P,A3)</f>
        <v>259</v>
      </c>
      <c r="C3" s="5">
        <f>COUNTIFS('Cleaned Data'!P:P,A3,'Cleaned Data'!B:B,"Yes")</f>
        <v>62</v>
      </c>
      <c r="D3" s="6">
        <f t="shared" ref="D3:D10" si="0">C3/B3</f>
        <v>0.23938223938223938</v>
      </c>
    </row>
    <row r="4" spans="1:4" x14ac:dyDescent="0.3">
      <c r="A4" s="3" t="s">
        <v>61</v>
      </c>
      <c r="B4" s="5">
        <f>COUNTIF('Cleaned Data'!P:P,A4)</f>
        <v>52</v>
      </c>
      <c r="C4" s="5">
        <f>COUNTIFS('Cleaned Data'!P:P,A4,'Cleaned Data'!B:B,"Yes")</f>
        <v>12</v>
      </c>
      <c r="D4" s="6">
        <f t="shared" si="0"/>
        <v>0.23076923076923078</v>
      </c>
    </row>
    <row r="5" spans="1:4" x14ac:dyDescent="0.3">
      <c r="A5" s="3" t="s">
        <v>40</v>
      </c>
      <c r="B5" s="5">
        <f>COUNTIF('Cleaned Data'!P:P,A5)</f>
        <v>326</v>
      </c>
      <c r="C5" s="5">
        <f>COUNTIFS('Cleaned Data'!P:P,A5,'Cleaned Data'!B:B,"Yes")</f>
        <v>57</v>
      </c>
      <c r="D5" s="6">
        <f t="shared" si="0"/>
        <v>0.17484662576687116</v>
      </c>
    </row>
    <row r="6" spans="1:4" x14ac:dyDescent="0.3">
      <c r="A6" s="3" t="s">
        <v>47</v>
      </c>
      <c r="B6" s="5">
        <f>COUNTIF('Cleaned Data'!P:P,A6)</f>
        <v>292</v>
      </c>
      <c r="C6" s="5">
        <f>COUNTIFS('Cleaned Data'!P:P,A6,'Cleaned Data'!B:B,"Yes")</f>
        <v>47</v>
      </c>
      <c r="D6" s="6">
        <f t="shared" si="0"/>
        <v>0.16095890410958905</v>
      </c>
    </row>
    <row r="7" spans="1:4" x14ac:dyDescent="0.3">
      <c r="A7" s="3" t="s">
        <v>53</v>
      </c>
      <c r="B7" s="5">
        <f>COUNTIF('Cleaned Data'!P:P,A7)</f>
        <v>145</v>
      </c>
      <c r="C7" s="5">
        <f>COUNTIFS('Cleaned Data'!P:P,A7,'Cleaned Data'!B:B,"Yes")</f>
        <v>10</v>
      </c>
      <c r="D7" s="6">
        <f t="shared" si="0"/>
        <v>6.8965517241379309E-2</v>
      </c>
    </row>
    <row r="8" spans="1:4" x14ac:dyDescent="0.3">
      <c r="A8" s="3" t="s">
        <v>54</v>
      </c>
      <c r="B8" s="5">
        <f>COUNTIF('Cleaned Data'!P:P,A8)</f>
        <v>131</v>
      </c>
      <c r="C8" s="5">
        <f>COUNTIFS('Cleaned Data'!P:P,A8,'Cleaned Data'!B:B,"Yes")</f>
        <v>9</v>
      </c>
      <c r="D8" s="6">
        <f t="shared" si="0"/>
        <v>6.8702290076335881E-2</v>
      </c>
    </row>
    <row r="9" spans="1:4" x14ac:dyDescent="0.3">
      <c r="A9" s="3" t="s">
        <v>56</v>
      </c>
      <c r="B9" s="5">
        <f>COUNTIF('Cleaned Data'!P:P,A9)</f>
        <v>102</v>
      </c>
      <c r="C9" s="5">
        <f>COUNTIFS('Cleaned Data'!P:P,A9,'Cleaned Data'!B:B,"Yes")</f>
        <v>5</v>
      </c>
      <c r="D9" s="6">
        <f t="shared" si="0"/>
        <v>4.9019607843137254E-2</v>
      </c>
    </row>
    <row r="10" spans="1:4" x14ac:dyDescent="0.3">
      <c r="A10" s="3" t="s">
        <v>58</v>
      </c>
      <c r="B10" s="5">
        <f>COUNTIF('Cleaned Data'!P:P,A10)</f>
        <v>80</v>
      </c>
      <c r="C10" s="5">
        <f>COUNTIFS('Cleaned Data'!P:P,A10,'Cleaned Data'!B:B,"Yes")</f>
        <v>2</v>
      </c>
      <c r="D10" s="6">
        <f t="shared" si="0"/>
        <v>2.5000000000000001E-2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5AA78-8EC3-4F24-AA88-663391EB17D4}">
  <dimension ref="A1:D6"/>
  <sheetViews>
    <sheetView workbookViewId="0">
      <selection activeCell="N16" sqref="N16"/>
    </sheetView>
  </sheetViews>
  <sheetFormatPr defaultRowHeight="14.4" x14ac:dyDescent="0.3"/>
  <cols>
    <col min="1" max="1" width="12.5546875" bestFit="1" customWidth="1"/>
    <col min="2" max="2" width="14.88671875" bestFit="1" customWidth="1"/>
    <col min="3" max="3" width="13.88671875" bestFit="1" customWidth="1"/>
    <col min="4" max="4" width="12.21875" bestFit="1" customWidth="1"/>
  </cols>
  <sheetData>
    <row r="1" spans="1:4" x14ac:dyDescent="0.3">
      <c r="A1" s="1" t="s">
        <v>68</v>
      </c>
      <c r="B1" s="2" t="s">
        <v>64</v>
      </c>
      <c r="C1" s="2" t="s">
        <v>65</v>
      </c>
      <c r="D1" s="2" t="s">
        <v>66</v>
      </c>
    </row>
    <row r="2" spans="1:4" x14ac:dyDescent="0.3">
      <c r="A2" s="3" t="s">
        <v>69</v>
      </c>
      <c r="B2" s="5">
        <f>COUNTIFS('Cleaned Data'!AF:AF,"&gt;=0",'Cleaned Data'!AF:AF,"&lt;=2")</f>
        <v>342</v>
      </c>
      <c r="C2" s="5">
        <f>COUNTIFS('Cleaned Data'!AF:AF,"&gt;=0",'Cleaned Data'!AF:AF,"&lt;=2",'Cleaned Data'!B:B,"Yes")</f>
        <v>102</v>
      </c>
      <c r="D2" s="6">
        <f>C2/B2</f>
        <v>0.2982456140350877</v>
      </c>
    </row>
    <row r="3" spans="1:4" x14ac:dyDescent="0.3">
      <c r="A3" s="3" t="s">
        <v>70</v>
      </c>
      <c r="B3" s="5">
        <f>COUNTIFS('Cleaned Data'!AF:AF,"&gt;=3",'Cleaned Data'!AF:AF,"&lt;=5")</f>
        <v>434</v>
      </c>
      <c r="C3" s="5">
        <f>COUNTIFS('Cleaned Data'!AF:AF,"&gt;=3",'Cleaned Data'!AF:AF,"&lt;=5",'Cleaned Data'!B:B,"Yes")</f>
        <v>60</v>
      </c>
      <c r="D3" s="6">
        <f t="shared" ref="D3:D6" si="0">C3/B3</f>
        <v>0.13824884792626729</v>
      </c>
    </row>
    <row r="4" spans="1:4" x14ac:dyDescent="0.3">
      <c r="A4" s="3" t="s">
        <v>71</v>
      </c>
      <c r="B4" s="5">
        <f>COUNTIFS('Cleaned Data'!AF:AF,"&gt;=6",'Cleaned Data'!AF:AF,"&lt;=10")</f>
        <v>448</v>
      </c>
      <c r="C4" s="5">
        <f>COUNTIFS('Cleaned Data'!AF:AF,"&gt;=6",'Cleaned Data'!AF:AF,"&lt;=10",'Cleaned Data'!B:B,"Yes")</f>
        <v>55</v>
      </c>
      <c r="D4" s="6">
        <f t="shared" si="0"/>
        <v>0.12276785714285714</v>
      </c>
    </row>
    <row r="5" spans="1:4" x14ac:dyDescent="0.3">
      <c r="A5" s="3" t="s">
        <v>72</v>
      </c>
      <c r="B5" s="5">
        <f>COUNTIFS('Cleaned Data'!AF:AF,"&gt;=11",'Cleaned Data'!AF:AF,"&lt;=15")</f>
        <v>108</v>
      </c>
      <c r="C5" s="5">
        <f>COUNTIFS('Cleaned Data'!AF:AF,"&gt;=11",'Cleaned Data'!AF:AF,"&lt;=15",'Cleaned Data'!B:B,"Yes")</f>
        <v>7</v>
      </c>
      <c r="D5" s="6">
        <f t="shared" si="0"/>
        <v>6.4814814814814811E-2</v>
      </c>
    </row>
    <row r="6" spans="1:4" x14ac:dyDescent="0.3">
      <c r="A6" s="3" t="s">
        <v>73</v>
      </c>
      <c r="B6" s="5">
        <f>COUNTIFS('Cleaned Data'!AF:AF,"&gt;=16",'Cleaned Data'!AF:AF,"&lt;=16")</f>
        <v>12</v>
      </c>
      <c r="C6" s="5">
        <f>COUNTIFS('Cleaned Data'!AF:AF,"&gt;=16",'Cleaned Data'!AF:AF,"&lt;=16",'Cleaned Data'!B:B,"Yes")</f>
        <v>1</v>
      </c>
      <c r="D6" s="6">
        <f t="shared" si="0"/>
        <v>8.3333333333333329E-2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D2BB-65DC-43A2-B768-F28A28333811}">
  <dimension ref="A1:B11"/>
  <sheetViews>
    <sheetView tabSelected="1" workbookViewId="0">
      <selection activeCell="B8" sqref="B8"/>
    </sheetView>
  </sheetViews>
  <sheetFormatPr defaultRowHeight="14.4" x14ac:dyDescent="0.3"/>
  <cols>
    <col min="1" max="1" width="24.77734375" bestFit="1" customWidth="1"/>
    <col min="2" max="2" width="18" bestFit="1" customWidth="1"/>
  </cols>
  <sheetData>
    <row r="1" spans="1:2" x14ac:dyDescent="0.3">
      <c r="A1" s="1" t="s">
        <v>62</v>
      </c>
      <c r="B1" s="2" t="s">
        <v>63</v>
      </c>
    </row>
    <row r="2" spans="1:2" x14ac:dyDescent="0.3">
      <c r="A2" s="3" t="s">
        <v>64</v>
      </c>
      <c r="B2" s="4">
        <f>COUNTA('Cleaned Data'!A:A)-1</f>
        <v>1470</v>
      </c>
    </row>
    <row r="3" spans="1:2" x14ac:dyDescent="0.3">
      <c r="A3" s="3" t="s">
        <v>65</v>
      </c>
      <c r="B3" s="5">
        <f>COUNTIF('Cleaned Data'!B:B,"Yes")</f>
        <v>237</v>
      </c>
    </row>
    <row r="4" spans="1:2" x14ac:dyDescent="0.3">
      <c r="A4" s="3" t="s">
        <v>66</v>
      </c>
      <c r="B4" s="6">
        <f>B3/B2</f>
        <v>0.16122448979591836</v>
      </c>
    </row>
    <row r="6" spans="1:2" x14ac:dyDescent="0.3">
      <c r="A6" s="1" t="s">
        <v>74</v>
      </c>
      <c r="B6" s="1" t="s">
        <v>75</v>
      </c>
    </row>
    <row r="7" spans="1:2" x14ac:dyDescent="0.3">
      <c r="A7" s="3" t="s">
        <v>76</v>
      </c>
      <c r="B7" s="3" t="s">
        <v>37</v>
      </c>
    </row>
    <row r="8" spans="1:2" x14ac:dyDescent="0.3">
      <c r="A8" s="3" t="s">
        <v>77</v>
      </c>
      <c r="B8" s="3" t="s">
        <v>57</v>
      </c>
    </row>
    <row r="9" spans="1:2" x14ac:dyDescent="0.3">
      <c r="A9" s="3" t="s">
        <v>78</v>
      </c>
      <c r="B9" s="3" t="s">
        <v>79</v>
      </c>
    </row>
    <row r="10" spans="1:2" x14ac:dyDescent="0.3">
      <c r="A10" s="3" t="s">
        <v>80</v>
      </c>
      <c r="B10" s="3" t="s">
        <v>79</v>
      </c>
    </row>
    <row r="11" spans="1:2" x14ac:dyDescent="0.3">
      <c r="A11" s="3" t="s">
        <v>81</v>
      </c>
      <c r="B11" s="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Cleaned Data</vt:lpstr>
      <vt:lpstr>Summary</vt:lpstr>
      <vt:lpstr>Department Analysis</vt:lpstr>
      <vt:lpstr>Role Analysis</vt:lpstr>
      <vt:lpstr>Tenure Analysis</vt:lpstr>
      <vt:lpstr>HR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Mahato</dc:creator>
  <cp:lastModifiedBy>Bikash Mahato</cp:lastModifiedBy>
  <dcterms:created xsi:type="dcterms:W3CDTF">2026-09-20T07:39:02Z</dcterms:created>
  <dcterms:modified xsi:type="dcterms:W3CDTF">2026-09-20T08:22:00Z</dcterms:modified>
</cp:coreProperties>
</file>